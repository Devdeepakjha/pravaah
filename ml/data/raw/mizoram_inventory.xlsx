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ersonal\Aizawl\"/>
    </mc:Choice>
  </mc:AlternateContent>
  <xr:revisionPtr revIDLastSave="0" documentId="13_ncr:1_{9E300495-647C-4759-94D6-E5CCB98627BF}" xr6:coauthVersionLast="47" xr6:coauthVersionMax="47" xr10:uidLastSave="{00000000-0000-0000-0000-000000000000}"/>
  <bookViews>
    <workbookView xWindow="-14805" yWindow="0" windowWidth="14910" windowHeight="15585" xr2:uid="{00000000-000D-0000-FFFF-FFFF00000000}"/>
  </bookViews>
  <sheets>
    <sheet name="Aizawl Landslide Inventory" sheetId="1" r:id="rId1"/>
    <sheet name="Notes" sheetId="2" r:id="rId2"/>
  </sheets>
  <definedNames>
    <definedName name="_xlnm._FilterDatabase" localSheetId="0" hidden="1">'Aizawl Landslide Inventory'!$A$17:$L$17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" l="1"/>
  <c r="G24" i="1"/>
  <c r="F25" i="1"/>
  <c r="F24" i="1"/>
</calcChain>
</file>

<file path=xl/sharedStrings.xml><?xml version="1.0" encoding="utf-8"?>
<sst xmlns="http://schemas.openxmlformats.org/spreadsheetml/2006/main" count="193" uniqueCount="146">
  <si>
    <t>S.No.</t>
  </si>
  <si>
    <t>Date</t>
  </si>
  <si>
    <t>Time</t>
  </si>
  <si>
    <t>Location</t>
  </si>
  <si>
    <t>Latitude (°N)</t>
  </si>
  <si>
    <t>Longitude (°E)</t>
  </si>
  <si>
    <t>Coord. Type</t>
  </si>
  <si>
    <t>Fatalities</t>
  </si>
  <si>
    <t>Impact Summary</t>
  </si>
  <si>
    <t>Landslide Type</t>
  </si>
  <si>
    <t>Source(s)</t>
  </si>
  <si>
    <t>2016-09-17</t>
  </si>
  <si>
    <t>Not reported</t>
  </si>
  <si>
    <t>Tlangval village, Aizawl district</t>
  </si>
  <si>
    <t>Approximate</t>
  </si>
  <si>
    <t>5 killed (incl. 4-yr-old); 10 houses destroyed; 6 dismantled; 17 families evacuated; 80+ graves exposed at 2 cemeteries</t>
  </si>
  <si>
    <t>Debris slide (rainfall-triggered)</t>
  </si>
  <si>
    <t>India.com / PTI, 18 Sep 2016 — https://www.india.com/news/india/mizoram-landslide-kills-five-in-aizawl-exposes-80-graves-1496864/</t>
  </si>
  <si>
    <t>2017-09-17</t>
  </si>
  <si>
    <t>~Midnight</t>
  </si>
  <si>
    <t>College Veng road section, Sikulpuikawn–Bethlehem Veng road, SE Aizawl</t>
  </si>
  <si>
    <t>Reported (23°43′28.56″N, 92°43′28.28″E)</t>
  </si>
  <si>
    <t>Road damage; slide 75 ft long, 25 ft high; no reported casualties</t>
  </si>
  <si>
    <t>Dip-slope shale failure</t>
  </si>
  <si>
    <t>Verma (2019), Senhri J. Multidiscip. Studies 4(2):1–6; SSRN: https://papers.ssrn.com/sol3/papers.cfm?abstract_id=4759121</t>
  </si>
  <si>
    <t>2019-07-02</t>
  </si>
  <si>
    <t>~18:00</t>
  </si>
  <si>
    <t>Durtlang Leitan, BSUP housing complex, ~5 km N of Aizawl</t>
  </si>
  <si>
    <t>Reported (23°46′20.92″N, 92°44′37.82″E)</t>
  </si>
  <si>
    <t>3 killed; 9 injured; 3 of 20 apartment blocks collapsed</t>
  </si>
  <si>
    <t>Translational slide on dipping shale beds</t>
  </si>
  <si>
    <t>AGU Landslide Blog — https://blogs.agu.org/landslideblog/2019/07/03/mizoram-landslide-1/ ; Malsawmtluanga et al. (2025), J. Earth Syst. Sci. 134:184, DOI: 10.1007/s12040-025-02647-6</t>
  </si>
  <si>
    <t>2021-06-11</t>
  </si>
  <si>
    <t>~21:30</t>
  </si>
  <si>
    <t>Thuampui, Bawngkawn police station area, NE Aizawl</t>
  </si>
  <si>
    <t>4 children killed (aged 3–16); 2 injured; retaining wall collapse swept away house</t>
  </si>
  <si>
    <t>Retaining wall failure / debris slide</t>
  </si>
  <si>
    <t>Tribune India — https://www.tribuneindia.com/news/nation/4-children-killed-as-massive-landslide-sweeps-away-building-in-mizorams-aizawl-267321 ; EastMojo, 12 Jun 2021; Barman &amp; Das (2024), Adv. Space Res. 74(3):1197–1224</t>
  </si>
  <si>
    <t>2021-06-13</t>
  </si>
  <si>
    <t>~20:30</t>
  </si>
  <si>
    <t>Ngaizel, Kulikawn locality, Aizawl town</t>
  </si>
  <si>
    <t>Approximate (SOI Toposheet 84 A/10)</t>
  </si>
  <si>
    <t>Road blocked by debris; no reported fatalities; classified as High Susceptibility Zone</t>
  </si>
  <si>
    <t>Rock slide / rock fall in interbedded sandstone–shale</t>
  </si>
  <si>
    <t>GSI Bhusanket Incidence Report — https://bhusanket.gsi.gov.in/Output/LS_Incidence_Report/2021/Landslides%20at%20Ngaizel,%20Aizawl%20town,%20Aizawl%20district,%20Mizoram%20(13th%20June%202021).pdf</t>
  </si>
  <si>
    <t>2024-05-28</t>
  </si>
  <si>
    <t>Overnight–early AM</t>
  </si>
  <si>
    <t>Melthum stone quarry, S outskirts of Aizawl</t>
  </si>
  <si>
    <t>15 killed; houses and worker camps buried; 10 houses destroyed, 22 vehicles damaged</t>
  </si>
  <si>
    <t>Quarry collapse / debris slide</t>
  </si>
  <si>
    <t>Mizoram DIPR — https://dipr.mizoram.gov.in/post/cyclone-remal-claims-27-lives-in-aizawl-district-landslides-and-floods-cause-damage-to-public-infrastructure ; Sangi et al. (2025), Landslides 22:1563–1575, DOI: 10.1007/s10346-025-02477-z ; Business Standard — https://www.business-standard.com/india-news/mizoram-25-dead-several-missing-as-rain-landslides-wreak-havoc-124052802093_1.html</t>
  </si>
  <si>
    <t>Hlimen, S outskirts of Aizawl (adjacent to Melthum)</t>
  </si>
  <si>
    <t>6 killed; structures damaged</t>
  </si>
  <si>
    <t>Debris slide</t>
  </si>
  <si>
    <t>Sentinel Assam — https://www.sentinelassam.com/north-east-india-news/mizoram-news/mizoram-tragedy-aizawl-landslide-death-toll-climbs-to-28 ; Mizoram DIPR (same as above)</t>
  </si>
  <si>
    <t>Salem Veng, Aizawl city</t>
  </si>
  <si>
    <t>3 killed; building caved in</t>
  </si>
  <si>
    <t>Building collapse from landslide</t>
  </si>
  <si>
    <t>National Herald — https://www.nationalheraldindia.com/national/mizoram-rescue-operations-on-to-find-missing-victims-of-landslides ; Mizoram DIPR</t>
  </si>
  <si>
    <t>Falkawn village, ~15 km from Aizawl</t>
  </si>
  <si>
    <t>2 killed; houses swept away</t>
  </si>
  <si>
    <t>Mizoram DIPR; Business Standard (same as Event 6)</t>
  </si>
  <si>
    <t>Chawnpui, Aizawl district</t>
  </si>
  <si>
    <t>8 family members swept away</t>
  </si>
  <si>
    <t>Sentinel Assam — https://www.sentinelassam.com/north-east-india-news/mizoram-news/mizoram-death-toll-rises-to-30-in-aizawl-landslides-as-rescue-operations-continue</t>
  </si>
  <si>
    <t>Republic Veng, Kanan Veng, Kulikawn cemeteries, Aizawl</t>
  </si>
  <si>
    <t>300+ graves displaced/damaged; no fatalities</t>
  </si>
  <si>
    <t>Multiple debris slides</t>
  </si>
  <si>
    <t>Sangi et al. (2025), Landslides 22:1563–1575, DOI: 10.1007/s10346-025-02477-z</t>
  </si>
  <si>
    <t>BSUP complex, Durtlang (same site as 2019 event)</t>
  </si>
  <si>
    <t>Debris flow; lower portion of complex slid; debris thickness 1.6 m</t>
  </si>
  <si>
    <t>Debris flow on shale bed (dip 32°)</t>
  </si>
  <si>
    <t>NH-6 at Hunthar and NH-54 at Bungbangla</t>
  </si>
  <si>
    <t>Aizawl cut off from rest of India; major road blockages</t>
  </si>
  <si>
    <t>Landslide / road blockage</t>
  </si>
  <si>
    <t>Mizoram DIPR — https://dipr.mizoram.gov.in/post/cyclone-remal-claims-27-lives-in-aizawl-district-landslides-and-floods-cause-damage-to-public-infrastructure</t>
  </si>
  <si>
    <t>2024-05-30</t>
  </si>
  <si>
    <t>Thuampui, NE Aizawl</t>
  </si>
  <si>
    <t>1 killed (wall collapse on labourers' camp)</t>
  </si>
  <si>
    <t>Retaining wall failure</t>
  </si>
  <si>
    <t>News reports; SEOC data</t>
  </si>
  <si>
    <t>2024-07-02</t>
  </si>
  <si>
    <t>Bodies recovered ~10:30 AM</t>
  </si>
  <si>
    <t>Zemabawk High School Veng, N outskirts of Aizawl</t>
  </si>
  <si>
    <t>3 killed — Isak Chhangte (32), wife Lalrinthari (25), daughter Abigail (4); building buried</t>
  </si>
  <si>
    <t>Rainfall-triggered debris slide</t>
  </si>
  <si>
    <t>ThePrint — https://theprint.in/india/minor-among-three-killed-in-aizawl-landslide/2157194/ ; Assam Tribune — https://assamtribune.com/north-east/mizoram-landslide-kills-family-of-three-in-aizawl-1542479</t>
  </si>
  <si>
    <t>Same day</t>
  </si>
  <si>
    <t>Zuangtui and Bawngkawn, Aizawl</t>
  </si>
  <si>
    <t>3 buildings swept away in Zuangtui, 1 in Bawngkawn; no casualties (occupants evacuated)</t>
  </si>
  <si>
    <t>Debris slides</t>
  </si>
  <si>
    <t>ThePrint; Assam Tribune (same as Event 15)</t>
  </si>
  <si>
    <t>2024-08-28</t>
  </si>
  <si>
    <t>Kawnpui, Kolasib/Aizawl district border</t>
  </si>
  <si>
    <t>Newly constructed railway station partially collapsed; no casualties</t>
  </si>
  <si>
    <t>Landslide</t>
  </si>
  <si>
    <t>India TV News — https://www.indiatvnews.com/north-east/mizoram/mizoram-rains-landslide-collapse-newly-constructed-kawnpui-railway-station-aizawl-lunglei-hnahthial-mamit-cpro-northeast-imd-weather-update-2024-08-29-949376</t>
  </si>
  <si>
    <t>2025-05-30</t>
  </si>
  <si>
    <t>~07:00</t>
  </si>
  <si>
    <t>1 killed (37-yr-old man), 1 injured; retaining wall collapse onto labourers' camp</t>
  </si>
  <si>
    <t>Daily Pioneer — https://www.dailypioneer.com/2025/top-stories/one-killed-as-wall-collapses-in-mizoram-amid-heavy-rain.html ; EastMojo — https://eastmojo.com/mizoram/2025/05/30/mizoram-retaining-wall-collapse-in-aizawl-claims-life-as-rain-triggers-landslides/</t>
  </si>
  <si>
    <t>Rangvamual (W Aizawl), Berawtlang (E Aizawl), Ramhlun South</t>
  </si>
  <si>
    <t>Retaining wall collapse, bridge road collapse, massive rockfall blocking road; no casualties</t>
  </si>
  <si>
    <t>Multiple types (retaining wall, rockfall)</t>
  </si>
  <si>
    <t>Daily Pioneer; EastMojo (same as Event 18)</t>
  </si>
  <si>
    <t>Field</t>
  </si>
  <si>
    <t>Description</t>
  </si>
  <si>
    <t>Date of occurrence in YYYY-MM-DD format</t>
  </si>
  <si>
    <t>Time of occurrence if reported; otherwise 'Not reported'</t>
  </si>
  <si>
    <t>Specific place name within or near Aizawl</t>
  </si>
  <si>
    <t>Latitude / Longitude</t>
  </si>
  <si>
    <t>Decimal degrees. See 'Coord. Type' for precision.</t>
  </si>
  <si>
    <t>'Reported' = from source with DMS precision; 'Approximate' = estimated from locality name</t>
  </si>
  <si>
    <t>Number of confirmed deaths. 0 = no fatalities reported.</t>
  </si>
  <si>
    <t>Brief description of damage, injuries, and other effects</t>
  </si>
  <si>
    <t>Classification based on source description</t>
  </si>
  <si>
    <t>Citation and URL for each data point</t>
  </si>
  <si>
    <t>Data compiled</t>
  </si>
  <si>
    <t>February 2026, from publicly available sources</t>
  </si>
  <si>
    <t>Study area</t>
  </si>
  <si>
    <t>Aizawl city and Aizawl district, Mizoram, India (~23.73°N, 92.72°E)</t>
  </si>
  <si>
    <t>Period covered</t>
  </si>
  <si>
    <t>2015–2025 (events found: 2016–2025)</t>
  </si>
  <si>
    <t>Events excluded</t>
  </si>
  <si>
    <t>Entries without a specific date or identifiable location were excluded per user request</t>
  </si>
  <si>
    <t>Key event</t>
  </si>
  <si>
    <t>28 May 2024: Cyclone Remal triggered multiple simultaneous landslides across Aizawl (Events 6–13)</t>
  </si>
  <si>
    <t>LS4</t>
  </si>
  <si>
    <t>LS5</t>
  </si>
  <si>
    <t>LS6</t>
  </si>
  <si>
    <t>LS7</t>
  </si>
  <si>
    <t>LS8</t>
  </si>
  <si>
    <t>LS9</t>
  </si>
  <si>
    <t>LS10</t>
  </si>
  <si>
    <t>LS11</t>
  </si>
  <si>
    <t>LS12</t>
  </si>
  <si>
    <t>LS1</t>
  </si>
  <si>
    <t>LS2</t>
  </si>
  <si>
    <t>LS3</t>
  </si>
  <si>
    <t>LS13</t>
  </si>
  <si>
    <t>LS14</t>
  </si>
  <si>
    <t>LS15</t>
  </si>
  <si>
    <t>LS16</t>
  </si>
  <si>
    <t>LS17</t>
  </si>
  <si>
    <t>LS18</t>
  </si>
  <si>
    <t>LS19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</si>
</sst>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pane ySplit="1" topLeftCell="A2" activePane="bottomLeft" state="frozen"/>
      <selection pane="bottomLeft" activeCell="F7" sqref="F7"/>
    </sheetView>
  </sheetViews>
  <sheetFormatPr defaultRowHeight="14.4" x14ac:dyDescent="0.3"/>
  <cols>
    <col min="1" max="2" width="6" customWidth="1"/>
    <col min="3" max="3" width="13" customWidth="1"/>
    <col min="4" max="4" width="22" customWidth="1"/>
    <col min="5" max="5" width="42" hidden="1" customWidth="1"/>
    <col min="6" max="7" width="13" customWidth="1"/>
    <col min="8" max="8" width="34" customWidth="1"/>
    <col min="9" max="9" width="10" customWidth="1"/>
    <col min="10" max="10" width="55" customWidth="1"/>
    <col min="11" max="11" width="30" customWidth="1"/>
    <col min="12" max="12" width="80" customWidth="1"/>
  </cols>
  <sheetData>
    <row r="1" spans="1:12" ht="27.6" x14ac:dyDescent="0.3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26.4" x14ac:dyDescent="0.3">
      <c r="A2" s="3">
        <v>1</v>
      </c>
      <c r="B2" s="3" t="s">
        <v>136</v>
      </c>
      <c r="C2" s="3" t="s">
        <v>11</v>
      </c>
      <c r="D2" s="3" t="s">
        <v>12</v>
      </c>
      <c r="E2" s="3" t="s">
        <v>13</v>
      </c>
      <c r="F2" s="2">
        <v>23.73</v>
      </c>
      <c r="G2" s="2">
        <v>92.72</v>
      </c>
      <c r="H2" s="3" t="s">
        <v>14</v>
      </c>
      <c r="I2" s="3">
        <v>5</v>
      </c>
      <c r="J2" s="3" t="s">
        <v>15</v>
      </c>
      <c r="K2" s="3" t="s">
        <v>16</v>
      </c>
      <c r="L2" s="3" t="s">
        <v>17</v>
      </c>
    </row>
    <row r="3" spans="1:12" ht="26.4" x14ac:dyDescent="0.3">
      <c r="A3" s="5">
        <v>2</v>
      </c>
      <c r="B3" s="5" t="s">
        <v>137</v>
      </c>
      <c r="C3" s="5" t="s">
        <v>18</v>
      </c>
      <c r="D3" s="5" t="s">
        <v>19</v>
      </c>
      <c r="E3" s="5" t="s">
        <v>20</v>
      </c>
      <c r="F3" s="4">
        <v>23.724599999999999</v>
      </c>
      <c r="G3" s="4">
        <v>92.724500000000006</v>
      </c>
      <c r="H3" s="5" t="s">
        <v>21</v>
      </c>
      <c r="I3" s="5">
        <v>0</v>
      </c>
      <c r="J3" s="5" t="s">
        <v>22</v>
      </c>
      <c r="K3" s="5" t="s">
        <v>23</v>
      </c>
      <c r="L3" s="5" t="s">
        <v>24</v>
      </c>
    </row>
    <row r="4" spans="1:12" ht="26.4" x14ac:dyDescent="0.3">
      <c r="A4" s="3">
        <v>3</v>
      </c>
      <c r="B4" s="3" t="s">
        <v>138</v>
      </c>
      <c r="C4" s="3" t="s">
        <v>25</v>
      </c>
      <c r="D4" s="3" t="s">
        <v>26</v>
      </c>
      <c r="E4" s="3" t="s">
        <v>27</v>
      </c>
      <c r="F4" s="2">
        <v>23.772500000000001</v>
      </c>
      <c r="G4" s="2">
        <v>92.743899999999996</v>
      </c>
      <c r="H4" s="3" t="s">
        <v>28</v>
      </c>
      <c r="I4" s="3">
        <v>3</v>
      </c>
      <c r="J4" s="3" t="s">
        <v>29</v>
      </c>
      <c r="K4" s="3" t="s">
        <v>30</v>
      </c>
      <c r="L4" s="3" t="s">
        <v>31</v>
      </c>
    </row>
    <row r="5" spans="1:12" ht="39.6" x14ac:dyDescent="0.3">
      <c r="A5" s="5">
        <v>4</v>
      </c>
      <c r="B5" s="5" t="s">
        <v>127</v>
      </c>
      <c r="C5" s="5" t="s">
        <v>32</v>
      </c>
      <c r="D5" s="5" t="s">
        <v>33</v>
      </c>
      <c r="E5" s="5" t="s">
        <v>34</v>
      </c>
      <c r="F5" s="4">
        <v>23.75</v>
      </c>
      <c r="G5" s="4">
        <v>92.73</v>
      </c>
      <c r="H5" s="5" t="s">
        <v>14</v>
      </c>
      <c r="I5" s="5">
        <v>4</v>
      </c>
      <c r="J5" s="5" t="s">
        <v>35</v>
      </c>
      <c r="K5" s="5" t="s">
        <v>36</v>
      </c>
      <c r="L5" s="5" t="s">
        <v>37</v>
      </c>
    </row>
    <row r="6" spans="1:12" ht="39.6" x14ac:dyDescent="0.3">
      <c r="A6" s="3">
        <v>5</v>
      </c>
      <c r="B6" s="3" t="s">
        <v>128</v>
      </c>
      <c r="C6" s="3" t="s">
        <v>38</v>
      </c>
      <c r="D6" s="3" t="s">
        <v>39</v>
      </c>
      <c r="E6" s="3" t="s">
        <v>40</v>
      </c>
      <c r="F6" s="2">
        <v>23.73</v>
      </c>
      <c r="G6" s="2">
        <v>92.73</v>
      </c>
      <c r="H6" s="3" t="s">
        <v>41</v>
      </c>
      <c r="I6" s="3">
        <v>0</v>
      </c>
      <c r="J6" s="3" t="s">
        <v>42</v>
      </c>
      <c r="K6" s="3" t="s">
        <v>43</v>
      </c>
      <c r="L6" s="3" t="s">
        <v>44</v>
      </c>
    </row>
    <row r="7" spans="1:12" ht="66" x14ac:dyDescent="0.3">
      <c r="A7" s="5">
        <v>6</v>
      </c>
      <c r="B7" s="5" t="s">
        <v>129</v>
      </c>
      <c r="C7" s="5" t="s">
        <v>45</v>
      </c>
      <c r="D7" s="5" t="s">
        <v>46</v>
      </c>
      <c r="E7" s="5" t="s">
        <v>47</v>
      </c>
      <c r="F7" s="4">
        <v>23.7</v>
      </c>
      <c r="G7" s="4">
        <v>92.72</v>
      </c>
      <c r="H7" s="5" t="s">
        <v>14</v>
      </c>
      <c r="I7" s="5">
        <v>15</v>
      </c>
      <c r="J7" s="5" t="s">
        <v>48</v>
      </c>
      <c r="K7" s="5" t="s">
        <v>49</v>
      </c>
      <c r="L7" s="5" t="s">
        <v>50</v>
      </c>
    </row>
    <row r="8" spans="1:12" ht="39.6" x14ac:dyDescent="0.3">
      <c r="A8" s="3">
        <v>7</v>
      </c>
      <c r="B8" s="3" t="s">
        <v>130</v>
      </c>
      <c r="C8" s="3" t="s">
        <v>45</v>
      </c>
      <c r="D8" s="3" t="s">
        <v>46</v>
      </c>
      <c r="E8" s="3" t="s">
        <v>51</v>
      </c>
      <c r="F8" s="2">
        <v>23.7</v>
      </c>
      <c r="G8" s="2">
        <v>92.72</v>
      </c>
      <c r="H8" s="3" t="s">
        <v>14</v>
      </c>
      <c r="I8" s="3">
        <v>6</v>
      </c>
      <c r="J8" s="3" t="s">
        <v>52</v>
      </c>
      <c r="K8" s="3" t="s">
        <v>53</v>
      </c>
      <c r="L8" s="3" t="s">
        <v>54</v>
      </c>
    </row>
    <row r="9" spans="1:12" ht="26.4" x14ac:dyDescent="0.3">
      <c r="A9" s="5">
        <v>8</v>
      </c>
      <c r="B9" s="5" t="s">
        <v>131</v>
      </c>
      <c r="C9" s="5" t="s">
        <v>45</v>
      </c>
      <c r="D9" s="5" t="s">
        <v>46</v>
      </c>
      <c r="E9" s="5" t="s">
        <v>55</v>
      </c>
      <c r="F9" s="4">
        <v>23.74</v>
      </c>
      <c r="G9" s="4">
        <v>92.72</v>
      </c>
      <c r="H9" s="5" t="s">
        <v>14</v>
      </c>
      <c r="I9" s="5">
        <v>3</v>
      </c>
      <c r="J9" s="5" t="s">
        <v>56</v>
      </c>
      <c r="K9" s="5" t="s">
        <v>57</v>
      </c>
      <c r="L9" s="5" t="s">
        <v>58</v>
      </c>
    </row>
    <row r="10" spans="1:12" x14ac:dyDescent="0.3">
      <c r="A10" s="3">
        <v>9</v>
      </c>
      <c r="B10" s="3" t="s">
        <v>132</v>
      </c>
      <c r="C10" s="3" t="s">
        <v>45</v>
      </c>
      <c r="D10" s="3" t="s">
        <v>46</v>
      </c>
      <c r="E10" s="3" t="s">
        <v>59</v>
      </c>
      <c r="F10" s="2">
        <v>23.68</v>
      </c>
      <c r="G10" s="2">
        <v>92.73</v>
      </c>
      <c r="H10" s="3" t="s">
        <v>14</v>
      </c>
      <c r="I10" s="3">
        <v>2</v>
      </c>
      <c r="J10" s="3" t="s">
        <v>60</v>
      </c>
      <c r="K10" s="3" t="s">
        <v>53</v>
      </c>
      <c r="L10" s="3" t="s">
        <v>61</v>
      </c>
    </row>
    <row r="11" spans="1:12" ht="26.4" x14ac:dyDescent="0.3">
      <c r="A11" s="5">
        <v>10</v>
      </c>
      <c r="B11" s="5" t="s">
        <v>133</v>
      </c>
      <c r="C11" s="5" t="s">
        <v>45</v>
      </c>
      <c r="D11" s="5" t="s">
        <v>46</v>
      </c>
      <c r="E11" s="5" t="s">
        <v>62</v>
      </c>
      <c r="F11" s="4">
        <v>23.72</v>
      </c>
      <c r="G11" s="4">
        <v>92.71</v>
      </c>
      <c r="H11" s="5" t="s">
        <v>14</v>
      </c>
      <c r="I11" s="5">
        <v>8</v>
      </c>
      <c r="J11" s="5" t="s">
        <v>63</v>
      </c>
      <c r="K11" s="5" t="s">
        <v>53</v>
      </c>
      <c r="L11" s="5" t="s">
        <v>64</v>
      </c>
    </row>
    <row r="12" spans="1:12" ht="26.4" x14ac:dyDescent="0.3">
      <c r="A12" s="3">
        <v>11</v>
      </c>
      <c r="B12" s="3" t="s">
        <v>134</v>
      </c>
      <c r="C12" s="3" t="s">
        <v>45</v>
      </c>
      <c r="D12" s="3" t="s">
        <v>46</v>
      </c>
      <c r="E12" s="3" t="s">
        <v>65</v>
      </c>
      <c r="F12" s="2">
        <v>23.73</v>
      </c>
      <c r="G12" s="2">
        <v>92.72</v>
      </c>
      <c r="H12" s="3" t="s">
        <v>14</v>
      </c>
      <c r="I12" s="3">
        <v>0</v>
      </c>
      <c r="J12" s="3" t="s">
        <v>66</v>
      </c>
      <c r="K12" s="3" t="s">
        <v>67</v>
      </c>
      <c r="L12" s="3" t="s">
        <v>68</v>
      </c>
    </row>
    <row r="13" spans="1:12" ht="26.4" x14ac:dyDescent="0.3">
      <c r="A13" s="5">
        <v>12</v>
      </c>
      <c r="B13" s="5" t="s">
        <v>135</v>
      </c>
      <c r="C13" s="5" t="s">
        <v>45</v>
      </c>
      <c r="D13" s="5" t="s">
        <v>46</v>
      </c>
      <c r="E13" s="5" t="s">
        <v>69</v>
      </c>
      <c r="F13" s="4">
        <v>23.772500000000001</v>
      </c>
      <c r="G13" s="4">
        <v>92.743899999999996</v>
      </c>
      <c r="H13" s="5" t="s">
        <v>28</v>
      </c>
      <c r="I13" s="5">
        <v>0</v>
      </c>
      <c r="J13" s="5" t="s">
        <v>70</v>
      </c>
      <c r="K13" s="5" t="s">
        <v>71</v>
      </c>
      <c r="L13" s="5" t="s">
        <v>68</v>
      </c>
    </row>
    <row r="14" spans="1:12" ht="26.4" x14ac:dyDescent="0.3">
      <c r="A14" s="3">
        <v>13</v>
      </c>
      <c r="B14" s="3" t="s">
        <v>139</v>
      </c>
      <c r="C14" s="3" t="s">
        <v>45</v>
      </c>
      <c r="D14" s="3" t="s">
        <v>46</v>
      </c>
      <c r="E14" s="3" t="s">
        <v>72</v>
      </c>
      <c r="F14" s="2">
        <v>23.74</v>
      </c>
      <c r="G14" s="2">
        <v>92.71</v>
      </c>
      <c r="H14" s="3" t="s">
        <v>14</v>
      </c>
      <c r="I14" s="3">
        <v>0</v>
      </c>
      <c r="J14" s="3" t="s">
        <v>73</v>
      </c>
      <c r="K14" s="3" t="s">
        <v>74</v>
      </c>
      <c r="L14" s="3" t="s">
        <v>75</v>
      </c>
    </row>
    <row r="15" spans="1:12" x14ac:dyDescent="0.3">
      <c r="A15" s="5">
        <v>14</v>
      </c>
      <c r="B15" s="5" t="s">
        <v>140</v>
      </c>
      <c r="C15" s="5" t="s">
        <v>76</v>
      </c>
      <c r="D15" s="5" t="s">
        <v>12</v>
      </c>
      <c r="E15" s="5" t="s">
        <v>77</v>
      </c>
      <c r="F15" s="4">
        <v>23.75</v>
      </c>
      <c r="G15" s="4">
        <v>92.73</v>
      </c>
      <c r="H15" s="5" t="s">
        <v>14</v>
      </c>
      <c r="I15" s="5">
        <v>1</v>
      </c>
      <c r="J15" s="5" t="s">
        <v>78</v>
      </c>
      <c r="K15" s="5" t="s">
        <v>79</v>
      </c>
      <c r="L15" s="5" t="s">
        <v>80</v>
      </c>
    </row>
    <row r="16" spans="1:12" ht="39.6" x14ac:dyDescent="0.3">
      <c r="A16" s="3">
        <v>15</v>
      </c>
      <c r="B16" s="3" t="s">
        <v>141</v>
      </c>
      <c r="C16" s="3" t="s">
        <v>81</v>
      </c>
      <c r="D16" s="3" t="s">
        <v>82</v>
      </c>
      <c r="E16" s="3" t="s">
        <v>83</v>
      </c>
      <c r="F16" s="2">
        <v>23.76</v>
      </c>
      <c r="G16" s="2">
        <v>92.74</v>
      </c>
      <c r="H16" s="3" t="s">
        <v>14</v>
      </c>
      <c r="I16" s="3">
        <v>3</v>
      </c>
      <c r="J16" s="3" t="s">
        <v>84</v>
      </c>
      <c r="K16" s="3" t="s">
        <v>85</v>
      </c>
      <c r="L16" s="3" t="s">
        <v>86</v>
      </c>
    </row>
    <row r="17" spans="1:12" ht="26.4" x14ac:dyDescent="0.3">
      <c r="A17" s="5">
        <v>16</v>
      </c>
      <c r="B17" s="5" t="s">
        <v>142</v>
      </c>
      <c r="C17" s="5" t="s">
        <v>81</v>
      </c>
      <c r="D17" s="5" t="s">
        <v>87</v>
      </c>
      <c r="E17" s="5" t="s">
        <v>88</v>
      </c>
      <c r="F17" s="4">
        <v>23.76</v>
      </c>
      <c r="G17" s="4">
        <v>92.73</v>
      </c>
      <c r="H17" s="5" t="s">
        <v>14</v>
      </c>
      <c r="I17" s="5">
        <v>0</v>
      </c>
      <c r="J17" s="5" t="s">
        <v>89</v>
      </c>
      <c r="K17" s="5" t="s">
        <v>90</v>
      </c>
      <c r="L17" s="5" t="s">
        <v>91</v>
      </c>
    </row>
    <row r="18" spans="1:12" ht="39.6" x14ac:dyDescent="0.3">
      <c r="A18" s="3">
        <v>17</v>
      </c>
      <c r="B18" s="3" t="s">
        <v>143</v>
      </c>
      <c r="C18" s="3" t="s">
        <v>92</v>
      </c>
      <c r="D18" s="3" t="s">
        <v>12</v>
      </c>
      <c r="E18" s="3" t="s">
        <v>93</v>
      </c>
      <c r="F18" s="2">
        <v>24.03</v>
      </c>
      <c r="G18" s="2">
        <v>92.62</v>
      </c>
      <c r="H18" s="3" t="s">
        <v>14</v>
      </c>
      <c r="I18" s="3">
        <v>0</v>
      </c>
      <c r="J18" s="3" t="s">
        <v>94</v>
      </c>
      <c r="K18" s="3" t="s">
        <v>95</v>
      </c>
      <c r="L18" s="3" t="s">
        <v>96</v>
      </c>
    </row>
    <row r="19" spans="1:12" ht="52.8" x14ac:dyDescent="0.3">
      <c r="A19" s="5">
        <v>18</v>
      </c>
      <c r="B19" s="5" t="s">
        <v>144</v>
      </c>
      <c r="C19" s="5" t="s">
        <v>97</v>
      </c>
      <c r="D19" s="5" t="s">
        <v>98</v>
      </c>
      <c r="E19" s="5" t="s">
        <v>77</v>
      </c>
      <c r="F19" s="4">
        <v>23.75</v>
      </c>
      <c r="G19" s="4">
        <v>92.73</v>
      </c>
      <c r="H19" s="5" t="s">
        <v>14</v>
      </c>
      <c r="I19" s="5">
        <v>1</v>
      </c>
      <c r="J19" s="5" t="s">
        <v>99</v>
      </c>
      <c r="K19" s="5" t="s">
        <v>79</v>
      </c>
      <c r="L19" s="5" t="s">
        <v>100</v>
      </c>
    </row>
    <row r="20" spans="1:12" ht="26.4" x14ac:dyDescent="0.3">
      <c r="A20" s="3">
        <v>19</v>
      </c>
      <c r="B20" s="3" t="s">
        <v>145</v>
      </c>
      <c r="C20" s="3" t="s">
        <v>97</v>
      </c>
      <c r="D20" s="3" t="s">
        <v>87</v>
      </c>
      <c r="E20" s="3" t="s">
        <v>101</v>
      </c>
      <c r="F20" s="2">
        <v>23.74</v>
      </c>
      <c r="G20" s="2">
        <v>92.72</v>
      </c>
      <c r="H20" s="3" t="s">
        <v>14</v>
      </c>
      <c r="I20" s="3">
        <v>0</v>
      </c>
      <c r="J20" s="3" t="s">
        <v>102</v>
      </c>
      <c r="K20" s="3" t="s">
        <v>103</v>
      </c>
      <c r="L20" s="3" t="s">
        <v>104</v>
      </c>
    </row>
    <row r="24" spans="1:12" x14ac:dyDescent="0.3">
      <c r="F24">
        <f>MAX(F2:F20)</f>
        <v>24.03</v>
      </c>
      <c r="G24">
        <f>MAX(G2:G20)</f>
        <v>92.743899999999996</v>
      </c>
    </row>
    <row r="25" spans="1:12" x14ac:dyDescent="0.3">
      <c r="F25">
        <f>MIN(F2:F20)</f>
        <v>23.68</v>
      </c>
      <c r="G25">
        <f>MIN(G2:G20)</f>
        <v>92.62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RowHeight="14.4" x14ac:dyDescent="0.3"/>
  <cols>
    <col min="1" max="1" width="22" customWidth="1"/>
    <col min="2" max="2" width="90" customWidth="1"/>
  </cols>
  <sheetData>
    <row r="1" spans="1:2" x14ac:dyDescent="0.3">
      <c r="A1" s="6" t="s">
        <v>105</v>
      </c>
      <c r="B1" s="6" t="s">
        <v>106</v>
      </c>
    </row>
    <row r="2" spans="1:2" x14ac:dyDescent="0.3">
      <c r="A2" s="7" t="s">
        <v>1</v>
      </c>
      <c r="B2" s="7" t="s">
        <v>107</v>
      </c>
    </row>
    <row r="3" spans="1:2" x14ac:dyDescent="0.3">
      <c r="A3" s="7" t="s">
        <v>2</v>
      </c>
      <c r="B3" s="7" t="s">
        <v>108</v>
      </c>
    </row>
    <row r="4" spans="1:2" x14ac:dyDescent="0.3">
      <c r="A4" s="7" t="s">
        <v>3</v>
      </c>
      <c r="B4" s="7" t="s">
        <v>109</v>
      </c>
    </row>
    <row r="5" spans="1:2" x14ac:dyDescent="0.3">
      <c r="A5" s="7" t="s">
        <v>110</v>
      </c>
      <c r="B5" s="7" t="s">
        <v>111</v>
      </c>
    </row>
    <row r="6" spans="1:2" x14ac:dyDescent="0.3">
      <c r="A6" s="7" t="s">
        <v>6</v>
      </c>
      <c r="B6" s="7" t="s">
        <v>112</v>
      </c>
    </row>
    <row r="7" spans="1:2" x14ac:dyDescent="0.3">
      <c r="A7" s="7" t="s">
        <v>7</v>
      </c>
      <c r="B7" s="7" t="s">
        <v>113</v>
      </c>
    </row>
    <row r="8" spans="1:2" x14ac:dyDescent="0.3">
      <c r="A8" s="7" t="s">
        <v>8</v>
      </c>
      <c r="B8" s="7" t="s">
        <v>114</v>
      </c>
    </row>
    <row r="9" spans="1:2" x14ac:dyDescent="0.3">
      <c r="A9" s="7" t="s">
        <v>9</v>
      </c>
      <c r="B9" s="7" t="s">
        <v>115</v>
      </c>
    </row>
    <row r="10" spans="1:2" x14ac:dyDescent="0.3">
      <c r="A10" s="7" t="s">
        <v>10</v>
      </c>
      <c r="B10" s="7" t="s">
        <v>116</v>
      </c>
    </row>
    <row r="11" spans="1:2" x14ac:dyDescent="0.3">
      <c r="A11" s="7"/>
      <c r="B11" s="7"/>
    </row>
    <row r="12" spans="1:2" x14ac:dyDescent="0.3">
      <c r="A12" s="7" t="s">
        <v>117</v>
      </c>
      <c r="B12" s="7" t="s">
        <v>118</v>
      </c>
    </row>
    <row r="13" spans="1:2" x14ac:dyDescent="0.3">
      <c r="A13" s="7" t="s">
        <v>119</v>
      </c>
      <c r="B13" s="7" t="s">
        <v>120</v>
      </c>
    </row>
    <row r="14" spans="1:2" x14ac:dyDescent="0.3">
      <c r="A14" s="7" t="s">
        <v>121</v>
      </c>
      <c r="B14" s="7" t="s">
        <v>122</v>
      </c>
    </row>
    <row r="15" spans="1:2" x14ac:dyDescent="0.3">
      <c r="A15" s="7" t="s">
        <v>123</v>
      </c>
      <c r="B15" s="7" t="s">
        <v>124</v>
      </c>
    </row>
    <row r="16" spans="1:2" x14ac:dyDescent="0.3">
      <c r="A16" s="7" t="s">
        <v>125</v>
      </c>
      <c r="B16" s="7" t="s">
        <v>126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86799ae-4360-4de5-8ed6-fb4d739001eb}" enabled="0" method="" siteId="{c86799ae-4360-4de5-8ed6-fb4d739001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Aizawl Landslide Inventory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Krishnendu Paul</cp:lastModifiedBy>
  <dcterms:created xsi:type="dcterms:W3CDTF">2026-02-13T09:05:39Z</dcterms:created>
  <dcterms:modified xsi:type="dcterms:W3CDTF">2026-04-02T07:25:55Z</dcterms:modified>
</cp:coreProperties>
</file>